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edidos" sheetId="2" state="visible" r:id="rId4"/>
    <sheet name="Lineas" sheetId="3" state="visible" r:id="rId5"/>
    <sheet name="Cuentas" sheetId="4" state="visible" r:id="rId6"/>
    <sheet name="Instrucciones" sheetId="5" state="visible" r:id="rId7"/>
  </sheets>
  <definedNames>
    <definedName function="false" hidden="true" localSheetId="3" name="_xlnm._FilterDatabase" vbProcedure="false">Cuentas!$A$1:$I$5000</definedName>
    <definedName function="false" hidden="true" localSheetId="2" name="_xlnm._FilterDatabase" vbProcedure="false">Lineas!$A$1:$F$5000</definedName>
    <definedName function="false" hidden="true" localSheetId="1" name="_xlnm._FilterDatabase" vbProcedure="false">Pedidos!$A$1:$U$5000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<sst xmlns="http://schemas.openxmlformats.org/spreadsheetml/2006/main" count="124" uniqueCount="94">
  <si>
    <t xml:space="preserve">CiberHome · Resumen de la base de datos</t>
  </si>
  <si>
    <t xml:space="preserve">Se calcula solo a partir de las hojas Pedidos, Lineas y Cuentas (primeras 5000 filas).</t>
  </si>
  <si>
    <t xml:space="preserve">Indicador</t>
  </si>
  <si>
    <t xml:space="preserve">Valor</t>
  </si>
  <si>
    <t xml:space="preserve">Pedidos totales</t>
  </si>
  <si>
    <t xml:space="preserve">Ingresos totales (€)</t>
  </si>
  <si>
    <t xml:space="preserve">Ticket medio (€)</t>
  </si>
  <si>
    <t xml:space="preserve">Descuentos concedidos (€)</t>
  </si>
  <si>
    <t xml:space="preserve">Ingresos por instalación (€)</t>
  </si>
  <si>
    <t xml:space="preserve">Pedidos con envío a domicilio</t>
  </si>
  <si>
    <t xml:space="preserve">Pedidos con recogida en tienda</t>
  </si>
  <si>
    <t xml:space="preserve">Pedidos con instalación</t>
  </si>
  <si>
    <t xml:space="preserve">Pagos con Stripe</t>
  </si>
  <si>
    <t xml:space="preserve">Pagos con PayPal</t>
  </si>
  <si>
    <t xml:space="preserve">Cuentas registradas</t>
  </si>
  <si>
    <t xml:space="preserve">Unidades vendidas</t>
  </si>
  <si>
    <t xml:space="preserve">Ventas por producto</t>
  </si>
  <si>
    <t xml:space="preserve">ID producto</t>
  </si>
  <si>
    <t xml:space="preserve">Producto</t>
  </si>
  <si>
    <t xml:space="preserve">Precio base (€)</t>
  </si>
  <si>
    <t xml:space="preserve">Ingresos (€)</t>
  </si>
  <si>
    <t xml:space="preserve">cam1</t>
  </si>
  <si>
    <t xml:space="preserve">Cámara exterior HD</t>
  </si>
  <si>
    <t xml:space="preserve">cerr1</t>
  </si>
  <si>
    <t xml:space="preserve">Cerradura inteligente</t>
  </si>
  <si>
    <t xml:space="preserve">rob1</t>
  </si>
  <si>
    <t xml:space="preserve">Robot aspirador</t>
  </si>
  <si>
    <t xml:space="preserve">asis1</t>
  </si>
  <si>
    <t xml:space="preserve">Altavoz asistente inteligente</t>
  </si>
  <si>
    <t xml:space="preserve">bomb1</t>
  </si>
  <si>
    <t xml:space="preserve">Bombillas inteligentes (pack 3)</t>
  </si>
  <si>
    <t xml:space="preserve">term1</t>
  </si>
  <si>
    <t xml:space="preserve">Termostato inteligente</t>
  </si>
  <si>
    <t xml:space="preserve">acc-panel-cam1</t>
  </si>
  <si>
    <t xml:space="preserve">Panel solar para cámara</t>
  </si>
  <si>
    <t xml:space="preserve">acc-soporte-cam1</t>
  </si>
  <si>
    <t xml:space="preserve">Soporte de pared orientable</t>
  </si>
  <si>
    <t xml:space="preserve">acc-filtro-rob1</t>
  </si>
  <si>
    <t xml:space="preserve">Filtro HEPA de repuesto</t>
  </si>
  <si>
    <t xml:space="preserve">acc-base-rob1</t>
  </si>
  <si>
    <t xml:space="preserve">Base de carga y vaciado automático</t>
  </si>
  <si>
    <t xml:space="preserve">Total</t>
  </si>
  <si>
    <t xml:space="preserve">Nota: el catálogo y los precios base están copiados de la web (campo en azul = editable). Si añades un producto en la web, añade una fila aquí.</t>
  </si>
  <si>
    <t xml:space="preserve">Fecha</t>
  </si>
  <si>
    <t xml:space="preserve">Nº pedido</t>
  </si>
  <si>
    <t xml:space="preserve">Usuario</t>
  </si>
  <si>
    <t xml:space="preserve">Email</t>
  </si>
  <si>
    <t xml:space="preserve">Nombre</t>
  </si>
  <si>
    <t xml:space="preserve">Apellidos</t>
  </si>
  <si>
    <t xml:space="preserve">Teléfono</t>
  </si>
  <si>
    <t xml:space="preserve">Dirección</t>
  </si>
  <si>
    <t xml:space="preserve">CP</t>
  </si>
  <si>
    <t xml:space="preserve">Ciudad</t>
  </si>
  <si>
    <t xml:space="preserve">Método de pago</t>
  </si>
  <si>
    <t xml:space="preserve">Entrega</t>
  </si>
  <si>
    <t xml:space="preserve">Tienda de recogida</t>
  </si>
  <si>
    <t xml:space="preserve">Instalación</t>
  </si>
  <si>
    <t xml:space="preserve">Subtotal (€)</t>
  </si>
  <si>
    <t xml:space="preserve">Instalación (€)</t>
  </si>
  <si>
    <t xml:space="preserve">Descuento (€)</t>
  </si>
  <si>
    <t xml:space="preserve">Código promo</t>
  </si>
  <si>
    <t xml:space="preserve">Total (€)</t>
  </si>
  <si>
    <t xml:space="preserve">Nº productos</t>
  </si>
  <si>
    <t xml:space="preserve">Productos</t>
  </si>
  <si>
    <t xml:space="preserve">Cantidad</t>
  </si>
  <si>
    <t xml:space="preserve">Total línea (€)</t>
  </si>
  <si>
    <t xml:space="preserve">Método de acceso</t>
  </si>
  <si>
    <t xml:space="preserve">Fecha de alta</t>
  </si>
  <si>
    <t xml:space="preserve">Último acceso</t>
  </si>
  <si>
    <t xml:space="preserve">Nº accesos</t>
  </si>
  <si>
    <t xml:space="preserve">País</t>
  </si>
  <si>
    <t xml:space="preserve">Cómo usar este Excel</t>
  </si>
  <si>
    <t xml:space="preserve">1. Las hojas Pedidos, Lineas y Cuentas tienen filtro en TODAS las columnas (flechita de la cabecera). Pulsa Ctrl+Mayús+L para quitarlo o ponerlo.</t>
  </si>
  <si>
    <t xml:space="preserve">2. Esta plantilla está vacía a propósito: los datos reales los escribe la web sola en tu Google Sheet cuando alguien compra o crea una cuenta.</t>
  </si>
  <si>
    <t xml:space="preserve">3. Para filtrar en Excel con datos reales: abre tu Google Sheet → Archivo → Descargar → Microsoft Excel (.xlsx). Tendrá el mismo orden de columnas.</t>
  </si>
  <si>
    <t xml:space="preserve">4. Si prefieres usar esta plantilla: súbela a Google Drive y ábrela como Hoja de cálculo de Google; así tendrás las hojas ya preparadas.</t>
  </si>
  <si>
    <t xml:space="preserve">5. La hoja Resumen se calcula sola con fórmulas. No escribas encima de las celdas con fórmulas.</t>
  </si>
  <si>
    <t xml:space="preserve">6. Cada fila de Pedidos es un pedido; la hoja Lineas tiene una fila por producto del pedido (une ambas por «Nº pedido»).</t>
  </si>
  <si>
    <t xml:space="preserve">Ejemplo de cómo se ve una fila de la hoja Pedidos (solo ilustrativo, no cuenta en el Resumen):</t>
  </si>
  <si>
    <t xml:space="preserve">09/10/2026 12:30</t>
  </si>
  <si>
    <t xml:space="preserve">DOM-261009-AB12</t>
  </si>
  <si>
    <t xml:space="preserve">ana</t>
  </si>
  <si>
    <t xml:space="preserve">ana@correo.es</t>
  </si>
  <si>
    <t xml:space="preserve">Ana</t>
  </si>
  <si>
    <t xml:space="preserve">Pérez</t>
  </si>
  <si>
    <t xml:space="preserve">600112233</t>
  </si>
  <si>
    <t xml:space="preserve">Calle Mayor 1</t>
  </si>
  <si>
    <t xml:space="preserve">28001</t>
  </si>
  <si>
    <t xml:space="preserve">Madrid</t>
  </si>
  <si>
    <t xml:space="preserve">Stripe</t>
  </si>
  <si>
    <t xml:space="preserve">Envío a domicilio</t>
  </si>
  <si>
    <t xml:space="preserve">Sí</t>
  </si>
  <si>
    <t xml:space="preserve">BIENVENIDO10</t>
  </si>
  <si>
    <t xml:space="preserve">2 × Cámara exterior HD; 1 × Termostato inteligente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</si>
</sst>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.00&quot; €&quot;"/>
    <numFmt numFmtId="167" formatCode="dd/mm/yyyy\ hh:mm"/>
    <numFmt numFmtId="168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B5FE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5B5FE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B5FEF"/>
        <bgColor rgb="FF6B72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5B5F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B5FE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</row>
    <row r="4" customFormat="false" ht="15" hidden="false" customHeight="false" outlineLevel="0" collapsed="false">
      <c r="A4" s="4" t="s">
        <v>4</v>
      </c>
      <c r="B4" s="5" t="n">
        <f aca="false">COUNTA(Pedidos!B2:B5000)</f>
        <v>0</v>
      </c>
    </row>
    <row r="5" customFormat="false" ht="15" hidden="false" customHeight="false" outlineLevel="0" collapsed="false">
      <c r="A5" s="4" t="s">
        <v>5</v>
      </c>
      <c r="B5" s="6" t="n">
        <f aca="false">SUM(Pedidos!S2:S5000)</f>
        <v>0</v>
      </c>
    </row>
    <row r="6" customFormat="false" ht="15" hidden="false" customHeight="false" outlineLevel="0" collapsed="false">
      <c r="A6" s="4" t="s">
        <v>6</v>
      </c>
      <c r="B6" s="6" t="n">
        <f aca="false">IF(B4=0,0,B5/B4)</f>
        <v>0</v>
      </c>
    </row>
    <row r="7" customFormat="false" ht="15" hidden="false" customHeight="false" outlineLevel="0" collapsed="false">
      <c r="A7" s="4" t="s">
        <v>7</v>
      </c>
      <c r="B7" s="6" t="n">
        <f aca="false">SUM(Pedidos!Q2:Q5000)</f>
        <v>0</v>
      </c>
    </row>
    <row r="8" customFormat="false" ht="15" hidden="false" customHeight="false" outlineLevel="0" collapsed="false">
      <c r="A8" s="4" t="s">
        <v>8</v>
      </c>
      <c r="B8" s="6" t="n">
        <f aca="false">SUM(Pedidos!P2:P5000)</f>
        <v>0</v>
      </c>
    </row>
    <row r="9" customFormat="false" ht="15" hidden="false" customHeight="false" outlineLevel="0" collapsed="false">
      <c r="A9" s="4" t="s">
        <v>9</v>
      </c>
      <c r="B9" s="5" t="n">
        <f aca="false">COUNTIF(Pedidos!L2:L5000,"Envío a domicilio")</f>
        <v>0</v>
      </c>
    </row>
    <row r="10" customFormat="false" ht="15" hidden="false" customHeight="false" outlineLevel="0" collapsed="false">
      <c r="A10" s="4" t="s">
        <v>10</v>
      </c>
      <c r="B10" s="5" t="n">
        <f aca="false">COUNTIF(Pedidos!L2:L5000,"Recogida en tienda")</f>
        <v>0</v>
      </c>
    </row>
    <row r="11" customFormat="false" ht="15" hidden="false" customHeight="false" outlineLevel="0" collapsed="false">
      <c r="A11" s="4" t="s">
        <v>11</v>
      </c>
      <c r="B11" s="5" t="n">
        <f aca="false">COUNTIF(Pedidos!N2:N5000,"Sí")</f>
        <v>0</v>
      </c>
    </row>
    <row r="12" customFormat="false" ht="15" hidden="false" customHeight="false" outlineLevel="0" collapsed="false">
      <c r="A12" s="4" t="s">
        <v>12</v>
      </c>
      <c r="B12" s="5" t="n">
        <f aca="false">COUNTIF(Pedidos!K2:K5000,"Stripe")</f>
        <v>0</v>
      </c>
    </row>
    <row r="13" customFormat="false" ht="15" hidden="false" customHeight="false" outlineLevel="0" collapsed="false">
      <c r="A13" s="4" t="s">
        <v>13</v>
      </c>
      <c r="B13" s="5" t="n">
        <f aca="false">COUNTIF(Pedidos!K2:K5000,"PayPal")</f>
        <v>0</v>
      </c>
    </row>
    <row r="14" customFormat="false" ht="15" hidden="false" customHeight="false" outlineLevel="0" collapsed="false">
      <c r="A14" s="4" t="s">
        <v>14</v>
      </c>
      <c r="B14" s="5" t="n">
        <f aca="false">COUNTA(Cuentas!A2:A5000)</f>
        <v>0</v>
      </c>
    </row>
    <row r="15" customFormat="false" ht="15" hidden="false" customHeight="false" outlineLevel="0" collapsed="false">
      <c r="A15" s="4" t="s">
        <v>15</v>
      </c>
      <c r="B15" s="5" t="n">
        <f aca="false">SUM(Lineas!E2:E5000)</f>
        <v>0</v>
      </c>
    </row>
    <row r="17" customFormat="false" ht="15" hidden="false" customHeight="false" outlineLevel="0" collapsed="false">
      <c r="A17" s="7" t="s">
        <v>16</v>
      </c>
    </row>
    <row r="18" customFormat="false" ht="15" hidden="false" customHeight="false" outlineLevel="0" collapsed="false">
      <c r="A18" s="8" t="s">
        <v>17</v>
      </c>
      <c r="B18" s="8" t="s">
        <v>18</v>
      </c>
      <c r="C18" s="8" t="s">
        <v>19</v>
      </c>
      <c r="D18" s="8" t="s">
        <v>15</v>
      </c>
      <c r="E18" s="8" t="s">
        <v>20</v>
      </c>
    </row>
    <row r="19" customFormat="false" ht="15" hidden="false" customHeight="false" outlineLevel="0" collapsed="false">
      <c r="A19" s="4" t="s">
        <v>21</v>
      </c>
      <c r="B19" s="4" t="s">
        <v>22</v>
      </c>
      <c r="C19" s="9" t="n">
        <v>79</v>
      </c>
      <c r="D19" s="10" t="n">
        <f aca="false">SUMIF(Lineas!$C$2:$C$5000,A19,Lineas!$E$2:$E$5000)</f>
        <v>0</v>
      </c>
      <c r="E19" s="11" t="n">
        <f aca="false">SUMIF(Lineas!$C$2:$C$5000,A19,Lineas!$F$2:$F$5000)</f>
        <v>0</v>
      </c>
    </row>
    <row r="20" customFormat="false" ht="15" hidden="false" customHeight="false" outlineLevel="0" collapsed="false">
      <c r="A20" s="4" t="s">
        <v>23</v>
      </c>
      <c r="B20" s="4" t="s">
        <v>24</v>
      </c>
      <c r="C20" s="9" t="n">
        <v>129</v>
      </c>
      <c r="D20" s="10" t="n">
        <f aca="false">SUMIF(Lineas!$C$2:$C$5000,A20,Lineas!$E$2:$E$5000)</f>
        <v>0</v>
      </c>
      <c r="E20" s="11" t="n">
        <f aca="false">SUMIF(Lineas!$C$2:$C$5000,A20,Lineas!$F$2:$F$5000)</f>
        <v>0</v>
      </c>
    </row>
    <row r="21" customFormat="false" ht="15" hidden="false" customHeight="false" outlineLevel="0" collapsed="false">
      <c r="A21" s="4" t="s">
        <v>25</v>
      </c>
      <c r="B21" s="4" t="s">
        <v>26</v>
      </c>
      <c r="C21" s="9" t="n">
        <v>249</v>
      </c>
      <c r="D21" s="10" t="n">
        <f aca="false">SUMIF(Lineas!$C$2:$C$5000,A21,Lineas!$E$2:$E$5000)</f>
        <v>0</v>
      </c>
      <c r="E21" s="11" t="n">
        <f aca="false">SUMIF(Lineas!$C$2:$C$5000,A21,Lineas!$F$2:$F$5000)</f>
        <v>0</v>
      </c>
    </row>
    <row r="22" customFormat="false" ht="15" hidden="false" customHeight="false" outlineLevel="0" collapsed="false">
      <c r="A22" s="4" t="s">
        <v>27</v>
      </c>
      <c r="B22" s="4" t="s">
        <v>28</v>
      </c>
      <c r="C22" s="9" t="n">
        <v>59</v>
      </c>
      <c r="D22" s="10" t="n">
        <f aca="false">SUMIF(Lineas!$C$2:$C$5000,A22,Lineas!$E$2:$E$5000)</f>
        <v>0</v>
      </c>
      <c r="E22" s="11" t="n">
        <f aca="false">SUMIF(Lineas!$C$2:$C$5000,A22,Lineas!$F$2:$F$5000)</f>
        <v>0</v>
      </c>
    </row>
    <row r="23" customFormat="false" ht="15" hidden="false" customHeight="false" outlineLevel="0" collapsed="false">
      <c r="A23" s="4" t="s">
        <v>29</v>
      </c>
      <c r="B23" s="4" t="s">
        <v>30</v>
      </c>
      <c r="C23" s="9" t="n">
        <v>39</v>
      </c>
      <c r="D23" s="10" t="n">
        <f aca="false">SUMIF(Lineas!$C$2:$C$5000,A23,Lineas!$E$2:$E$5000)</f>
        <v>0</v>
      </c>
      <c r="E23" s="11" t="n">
        <f aca="false">SUMIF(Lineas!$C$2:$C$5000,A23,Lineas!$F$2:$F$5000)</f>
        <v>0</v>
      </c>
    </row>
    <row r="24" customFormat="false" ht="15" hidden="false" customHeight="false" outlineLevel="0" collapsed="false">
      <c r="A24" s="4" t="s">
        <v>31</v>
      </c>
      <c r="B24" s="4" t="s">
        <v>32</v>
      </c>
      <c r="C24" s="9" t="n">
        <v>119</v>
      </c>
      <c r="D24" s="10" t="n">
        <f aca="false">SUMIF(Lineas!$C$2:$C$5000,A24,Lineas!$E$2:$E$5000)</f>
        <v>0</v>
      </c>
      <c r="E24" s="11" t="n">
        <f aca="false">SUMIF(Lineas!$C$2:$C$5000,A24,Lineas!$F$2:$F$5000)</f>
        <v>0</v>
      </c>
    </row>
    <row r="25" customFormat="false" ht="15" hidden="false" customHeight="false" outlineLevel="0" collapsed="false">
      <c r="A25" s="4" t="s">
        <v>33</v>
      </c>
      <c r="B25" s="4" t="s">
        <v>34</v>
      </c>
      <c r="C25" s="9" t="n">
        <v>19</v>
      </c>
      <c r="D25" s="10" t="n">
        <f aca="false">SUMIF(Lineas!$C$2:$C$5000,A25,Lineas!$E$2:$E$5000)</f>
        <v>0</v>
      </c>
      <c r="E25" s="11" t="n">
        <f aca="false">SUMIF(Lineas!$C$2:$C$5000,A25,Lineas!$F$2:$F$5000)</f>
        <v>0</v>
      </c>
    </row>
    <row r="26" customFormat="false" ht="15" hidden="false" customHeight="false" outlineLevel="0" collapsed="false">
      <c r="A26" s="4" t="s">
        <v>35</v>
      </c>
      <c r="B26" s="4" t="s">
        <v>36</v>
      </c>
      <c r="C26" s="9" t="n">
        <v>9</v>
      </c>
      <c r="D26" s="10" t="n">
        <f aca="false">SUMIF(Lineas!$C$2:$C$5000,A26,Lineas!$E$2:$E$5000)</f>
        <v>0</v>
      </c>
      <c r="E26" s="11" t="n">
        <f aca="false">SUMIF(Lineas!$C$2:$C$5000,A26,Lineas!$F$2:$F$5000)</f>
        <v>0</v>
      </c>
    </row>
    <row r="27" customFormat="false" ht="15" hidden="false" customHeight="false" outlineLevel="0" collapsed="false">
      <c r="A27" s="4" t="s">
        <v>37</v>
      </c>
      <c r="B27" s="4" t="s">
        <v>38</v>
      </c>
      <c r="C27" s="9" t="n">
        <v>15</v>
      </c>
      <c r="D27" s="10" t="n">
        <f aca="false">SUMIF(Lineas!$C$2:$C$5000,A27,Lineas!$E$2:$E$5000)</f>
        <v>0</v>
      </c>
      <c r="E27" s="11" t="n">
        <f aca="false">SUMIF(Lineas!$C$2:$C$5000,A27,Lineas!$F$2:$F$5000)</f>
        <v>0</v>
      </c>
    </row>
    <row r="28" customFormat="false" ht="15" hidden="false" customHeight="false" outlineLevel="0" collapsed="false">
      <c r="A28" s="4" t="s">
        <v>39</v>
      </c>
      <c r="B28" s="4" t="s">
        <v>40</v>
      </c>
      <c r="C28" s="9" t="n">
        <v>89</v>
      </c>
      <c r="D28" s="10" t="n">
        <f aca="false">SUMIF(Lineas!$C$2:$C$5000,A28,Lineas!$E$2:$E$5000)</f>
        <v>0</v>
      </c>
      <c r="E28" s="11" t="n">
        <f aca="false">SUMIF(Lineas!$C$2:$C$5000,A28,Lineas!$F$2:$F$5000)</f>
        <v>0</v>
      </c>
    </row>
    <row r="29" customFormat="false" ht="15" hidden="false" customHeight="false" outlineLevel="0" collapsed="false">
      <c r="A29" s="12" t="s">
        <v>41</v>
      </c>
      <c r="B29" s="12"/>
      <c r="C29" s="12"/>
      <c r="D29" s="13" t="n">
        <f aca="false">SUM(D19:D28)</f>
        <v>0</v>
      </c>
      <c r="E29" s="14" t="n">
        <f aca="false">SUM(E19:E28)</f>
        <v>0</v>
      </c>
    </row>
    <row r="31" customFormat="false" ht="15" hidden="false" customHeight="false" outlineLevel="0" collapsed="false">
      <c r="A31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17"/>
    <col collapsed="false" customWidth="true" hidden="false" outlineLevel="0" max="2" min="2" style="16" width="18"/>
    <col collapsed="false" customWidth="true" hidden="false" outlineLevel="0" max="3" min="3" style="16" width="14"/>
    <col collapsed="false" customWidth="true" hidden="false" outlineLevel="0" max="4" min="4" style="16" width="26"/>
    <col collapsed="false" customWidth="true" hidden="false" outlineLevel="0" max="5" min="5" style="16" width="14"/>
    <col collapsed="false" customWidth="true" hidden="false" outlineLevel="0" max="6" min="6" style="16" width="16"/>
    <col collapsed="false" customWidth="true" hidden="false" outlineLevel="0" max="7" min="7" style="16" width="13"/>
    <col collapsed="false" customWidth="true" hidden="false" outlineLevel="0" max="8" min="8" style="16" width="30"/>
    <col collapsed="false" customWidth="true" hidden="false" outlineLevel="0" max="9" min="9" style="16" width="8"/>
    <col collapsed="false" customWidth="true" hidden="false" outlineLevel="0" max="11" min="10" style="16" width="14"/>
    <col collapsed="false" customWidth="true" hidden="false" outlineLevel="0" max="12" min="12" style="16" width="19"/>
    <col collapsed="false" customWidth="true" hidden="false" outlineLevel="0" max="13" min="13" style="16" width="20"/>
    <col collapsed="false" customWidth="true" hidden="false" outlineLevel="0" max="14" min="14" style="16" width="12"/>
    <col collapsed="false" customWidth="true" hidden="false" outlineLevel="0" max="15" min="15" style="17" width="13"/>
    <col collapsed="false" customWidth="true" hidden="false" outlineLevel="0" max="17" min="16" style="17" width="14"/>
    <col collapsed="false" customWidth="true" hidden="false" outlineLevel="0" max="18" min="18" style="16" width="14"/>
    <col collapsed="false" customWidth="true" hidden="false" outlineLevel="0" max="19" min="19" style="17" width="12"/>
    <col collapsed="false" customWidth="true" hidden="false" outlineLevel="0" max="20" min="20" style="18" width="12"/>
    <col collapsed="false" customWidth="true" hidden="false" outlineLevel="0" max="21" min="21" style="16" width="48"/>
  </cols>
  <sheetData>
    <row r="1" customFormat="false" ht="30" hidden="false" customHeight="true" outlineLevel="0" collapsed="false">
      <c r="A1" s="19" t="s">
        <v>43</v>
      </c>
      <c r="B1" s="19" t="s">
        <v>44</v>
      </c>
      <c r="C1" s="19" t="s">
        <v>45</v>
      </c>
      <c r="D1" s="19" t="s">
        <v>46</v>
      </c>
      <c r="E1" s="19" t="s">
        <v>47</v>
      </c>
      <c r="F1" s="19" t="s">
        <v>48</v>
      </c>
      <c r="G1" s="19" t="s">
        <v>49</v>
      </c>
      <c r="H1" s="19" t="s">
        <v>50</v>
      </c>
      <c r="I1" s="19" t="s">
        <v>51</v>
      </c>
      <c r="J1" s="19" t="s">
        <v>52</v>
      </c>
      <c r="K1" s="19" t="s">
        <v>53</v>
      </c>
      <c r="L1" s="19" t="s">
        <v>54</v>
      </c>
      <c r="M1" s="19" t="s">
        <v>55</v>
      </c>
      <c r="N1" s="19" t="s">
        <v>56</v>
      </c>
      <c r="O1" s="19" t="s">
        <v>57</v>
      </c>
      <c r="P1" s="19" t="s">
        <v>58</v>
      </c>
      <c r="Q1" s="19" t="s">
        <v>59</v>
      </c>
      <c r="R1" s="19" t="s">
        <v>60</v>
      </c>
      <c r="S1" s="19" t="s">
        <v>61</v>
      </c>
      <c r="T1" s="19" t="s">
        <v>62</v>
      </c>
      <c r="U1" s="19" t="s">
        <v>63</v>
      </c>
    </row>
  </sheetData>
  <autoFilter ref="A1:U50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17"/>
    <col collapsed="false" customWidth="true" hidden="false" outlineLevel="0" max="2" min="2" style="16" width="18"/>
    <col collapsed="false" customWidth="true" hidden="false" outlineLevel="0" max="3" min="3" style="16" width="16"/>
    <col collapsed="false" customWidth="true" hidden="false" outlineLevel="0" max="4" min="4" style="16" width="34"/>
    <col collapsed="false" customWidth="true" hidden="false" outlineLevel="0" max="5" min="5" style="18" width="10"/>
    <col collapsed="false" customWidth="true" hidden="false" outlineLevel="0" max="6" min="6" style="17" width="15"/>
  </cols>
  <sheetData>
    <row r="1" customFormat="false" ht="30" hidden="false" customHeight="true" outlineLevel="0" collapsed="false">
      <c r="A1" s="19" t="s">
        <v>43</v>
      </c>
      <c r="B1" s="19" t="s">
        <v>44</v>
      </c>
      <c r="C1" s="19" t="s">
        <v>17</v>
      </c>
      <c r="D1" s="19" t="s">
        <v>18</v>
      </c>
      <c r="E1" s="19" t="s">
        <v>64</v>
      </c>
      <c r="F1" s="19" t="s">
        <v>65</v>
      </c>
    </row>
  </sheetData>
  <autoFilter ref="A1:F50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6" width="16"/>
    <col collapsed="false" customWidth="true" hidden="false" outlineLevel="0" max="2" min="2" style="16" width="28"/>
    <col collapsed="false" customWidth="true" hidden="false" outlineLevel="0" max="3" min="3" style="16" width="20"/>
    <col collapsed="false" customWidth="true" hidden="false" outlineLevel="0" max="4" min="4" style="16" width="16"/>
    <col collapsed="false" customWidth="true" hidden="false" outlineLevel="0" max="6" min="5" style="15" width="17"/>
    <col collapsed="false" customWidth="true" hidden="false" outlineLevel="0" max="7" min="7" style="18" width="11"/>
    <col collapsed="false" customWidth="true" hidden="false" outlineLevel="0" max="8" min="8" style="16" width="8"/>
    <col collapsed="false" customWidth="true" hidden="false" outlineLevel="0" max="9" min="9" style="16" width="14"/>
  </cols>
  <sheetData>
    <row r="1" customFormat="false" ht="30" hidden="false" customHeight="true" outlineLevel="0" collapsed="false">
      <c r="A1" s="19" t="s">
        <v>45</v>
      </c>
      <c r="B1" s="19" t="s">
        <v>46</v>
      </c>
      <c r="C1" s="19" t="s">
        <v>47</v>
      </c>
      <c r="D1" s="19" t="s">
        <v>66</v>
      </c>
      <c r="E1" s="19" t="s">
        <v>67</v>
      </c>
      <c r="F1" s="19" t="s">
        <v>68</v>
      </c>
      <c r="G1" s="19" t="s">
        <v>69</v>
      </c>
      <c r="H1" s="19" t="s">
        <v>70</v>
      </c>
      <c r="I1" s="19" t="s">
        <v>52</v>
      </c>
    </row>
  </sheetData>
  <autoFilter ref="A1:I50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1" min="2" style="0" width="16"/>
  </cols>
  <sheetData>
    <row r="1" customFormat="false" ht="19.7" hidden="false" customHeight="false" outlineLevel="0" collapsed="false">
      <c r="A1" s="1" t="s">
        <v>71</v>
      </c>
    </row>
    <row r="3" customFormat="false" ht="31.5" hidden="false" customHeight="true" outlineLevel="0" collapsed="false">
      <c r="A3" s="20" t="s">
        <v>72</v>
      </c>
    </row>
    <row r="4" customFormat="false" ht="31.5" hidden="false" customHeight="true" outlineLevel="0" collapsed="false">
      <c r="A4" s="20" t="s">
        <v>73</v>
      </c>
    </row>
    <row r="5" customFormat="false" ht="31.5" hidden="false" customHeight="true" outlineLevel="0" collapsed="false">
      <c r="A5" s="20" t="s">
        <v>74</v>
      </c>
    </row>
    <row r="6" customFormat="false" ht="31.5" hidden="false" customHeight="true" outlineLevel="0" collapsed="false">
      <c r="A6" s="20" t="s">
        <v>75</v>
      </c>
    </row>
    <row r="7" customFormat="false" ht="31.5" hidden="false" customHeight="true" outlineLevel="0" collapsed="false">
      <c r="A7" s="20" t="s">
        <v>76</v>
      </c>
    </row>
    <row r="8" customFormat="false" ht="31.5" hidden="false" customHeight="true" outlineLevel="0" collapsed="false">
      <c r="A8" s="20" t="s">
        <v>77</v>
      </c>
    </row>
    <row r="10" customFormat="false" ht="15" hidden="false" customHeight="false" outlineLevel="0" collapsed="false">
      <c r="A10" s="21" t="s">
        <v>78</v>
      </c>
    </row>
    <row r="11" customFormat="false" ht="23.85" hidden="false" customHeight="false" outlineLevel="0" collapsed="false">
      <c r="A11" s="22" t="s">
        <v>43</v>
      </c>
      <c r="B11" s="22" t="s">
        <v>44</v>
      </c>
      <c r="C11" s="22" t="s">
        <v>45</v>
      </c>
      <c r="D11" s="22" t="s">
        <v>46</v>
      </c>
      <c r="E11" s="22" t="s">
        <v>47</v>
      </c>
      <c r="F11" s="22" t="s">
        <v>48</v>
      </c>
      <c r="G11" s="22" t="s">
        <v>49</v>
      </c>
      <c r="H11" s="22" t="s">
        <v>50</v>
      </c>
      <c r="I11" s="22" t="s">
        <v>51</v>
      </c>
      <c r="J11" s="22" t="s">
        <v>52</v>
      </c>
      <c r="K11" s="22" t="s">
        <v>53</v>
      </c>
      <c r="L11" s="22" t="s">
        <v>54</v>
      </c>
      <c r="M11" s="22" t="s">
        <v>55</v>
      </c>
      <c r="N11" s="22" t="s">
        <v>56</v>
      </c>
      <c r="O11" s="22" t="s">
        <v>57</v>
      </c>
      <c r="P11" s="22" t="s">
        <v>58</v>
      </c>
      <c r="Q11" s="22" t="s">
        <v>59</v>
      </c>
      <c r="R11" s="22" t="s">
        <v>60</v>
      </c>
      <c r="S11" s="22" t="s">
        <v>61</v>
      </c>
      <c r="T11" s="22" t="s">
        <v>62</v>
      </c>
      <c r="U11" s="22" t="s">
        <v>63</v>
      </c>
    </row>
    <row r="12" customFormat="false" ht="15" hidden="false" customHeight="false" outlineLevel="0" collapsed="false">
      <c r="A12" s="23" t="s">
        <v>79</v>
      </c>
      <c r="B12" s="23" t="s">
        <v>80</v>
      </c>
      <c r="C12" s="23" t="s">
        <v>81</v>
      </c>
      <c r="D12" s="23" t="s">
        <v>82</v>
      </c>
      <c r="E12" s="23" t="s">
        <v>83</v>
      </c>
      <c r="F12" s="23" t="s">
        <v>84</v>
      </c>
      <c r="G12" s="23" t="s">
        <v>85</v>
      </c>
      <c r="H12" s="23" t="s">
        <v>86</v>
      </c>
      <c r="I12" s="23" t="s">
        <v>87</v>
      </c>
      <c r="J12" s="23" t="s">
        <v>88</v>
      </c>
      <c r="K12" s="23" t="s">
        <v>89</v>
      </c>
      <c r="L12" s="23" t="s">
        <v>90</v>
      </c>
      <c r="M12" s="23"/>
      <c r="N12" s="23" t="s">
        <v>91</v>
      </c>
      <c r="O12" s="23" t="n">
        <v>269</v>
      </c>
      <c r="P12" s="23" t="n">
        <v>29</v>
      </c>
      <c r="Q12" s="23" t="n">
        <v>26.9</v>
      </c>
      <c r="R12" s="23" t="s">
        <v>92</v>
      </c>
      <c r="S12" s="23" t="n">
        <v>271.1</v>
      </c>
      <c r="T12" s="23" t="n">
        <v>3</v>
      </c>
      <c r="U12" s="23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2026-10-09T10:25:37Z</dcterms:created>
  <dc:creator>openpyxl</dc:creator>
  <dc:description/>
  <dc:language>en-US</dc:language>
  <cp:lastModifiedBy/>
  <dcterms:modified xsi:type="dcterms:W3CDTF">2026-10-09T10:25:37Z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